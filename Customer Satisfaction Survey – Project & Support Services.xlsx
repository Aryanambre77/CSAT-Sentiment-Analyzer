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cuments\Data Analytics Project\Case Study\"/>
    </mc:Choice>
  </mc:AlternateContent>
  <xr:revisionPtr revIDLastSave="0" documentId="8_{C3A286D7-97A9-4811-9B98-793BC2EAED84}" xr6:coauthVersionLast="47" xr6:coauthVersionMax="47" xr10:uidLastSave="{00000000-0000-0000-0000-000000000000}"/>
  <bookViews>
    <workbookView xWindow="-108" yWindow="-108" windowWidth="23256" windowHeight="13176" xr2:uid="{2474ED81-87FA-44CA-8893-87FF52395971}"/>
  </bookViews>
  <sheets>
    <sheet name="Customer Satisfaction Survey – " sheetId="1" r:id="rId1"/>
  </sheets>
  <calcPr calcId="0"/>
</workbook>
</file>

<file path=xl/calcChain.xml><?xml version="1.0" encoding="utf-8"?>
<calcChain xmlns="http://schemas.openxmlformats.org/spreadsheetml/2006/main">
  <c r="A25" i="1" l="1"/>
  <c r="B34" i="1"/>
  <c r="B33" i="1"/>
  <c r="B32" i="1"/>
  <c r="B31" i="1"/>
  <c r="B45" i="1"/>
  <c r="B44" i="1"/>
  <c r="B43" i="1"/>
  <c r="B42" i="1"/>
  <c r="B41" i="1"/>
  <c r="B40" i="1"/>
  <c r="C41" i="1"/>
  <c r="C42" i="1" l="1"/>
  <c r="C43" i="1"/>
  <c r="C40" i="1"/>
  <c r="C44" i="1"/>
</calcChain>
</file>

<file path=xl/sharedStrings.xml><?xml version="1.0" encoding="utf-8"?>
<sst xmlns="http://schemas.openxmlformats.org/spreadsheetml/2006/main" count="63" uniqueCount="60">
  <si>
    <t>Username</t>
  </si>
  <si>
    <t>Overall_CSAT</t>
  </si>
  <si>
    <t>Communication</t>
  </si>
  <si>
    <t>Technical_Expertise</t>
  </si>
  <si>
    <t>Responsiveness</t>
  </si>
  <si>
    <t>Timelines</t>
  </si>
  <si>
    <t>Feedback</t>
  </si>
  <si>
    <t>ambremangesh007@gmail.com</t>
  </si>
  <si>
    <t>The technical expertise of the team was strong. Communication was generally good, but more frequent status updates would help.</t>
  </si>
  <si>
    <t>aryanambre77@gmail.com</t>
  </si>
  <si>
    <t>Overall experience was excellent. The team was knowledgeable and supportive throughout the project. Faster response during peak times would make it even better.</t>
  </si>
  <si>
    <t>aryabhatt03@gmail.com</t>
  </si>
  <si>
    <t>The project was delivered as expected, but response time could be improved. Some delays in clarification affected progress.</t>
  </si>
  <si>
    <t>3barbonnet@gmail.com</t>
  </si>
  <si>
    <t>Strong technical expertise and smooth delivery. Slightly faster response time during critical phases would improve the experience.</t>
  </si>
  <si>
    <t>romanrodrigues@gmail.com</t>
  </si>
  <si>
    <t>The project met expectations. Communication was decent, but response delays occurred occasionally.</t>
  </si>
  <si>
    <t>harshpanchal33@gmail.com</t>
  </si>
  <si>
    <t>Technical work was good, but communication could be more structured and consistent.</t>
  </si>
  <si>
    <t>vishalyadav26@gmail.com</t>
  </si>
  <si>
    <t>Support response was slower than expected at times. Improving turnaround time would be helpful.</t>
  </si>
  <si>
    <t>tanishabhatt23@gmail.com</t>
  </si>
  <si>
    <t>Work quality was good, but delivery timelines were extended. Better planning could avoid delays.</t>
  </si>
  <si>
    <t>nehakushe32@gmail.com</t>
  </si>
  <si>
    <t>The team was skilled and professional. Clearer escalation processes would enhance efficiency.</t>
  </si>
  <si>
    <t>samruddhiavhad@gmail.com</t>
  </si>
  <si>
    <t>Overall experience was average. The service met basic requirements but could be more proactive.</t>
  </si>
  <si>
    <t>shubhamghude3@gmail.com</t>
  </si>
  <si>
    <t>The technical quality was good, but communication gaps and slow responses caused delays. Better coordination would improve the experience.</t>
  </si>
  <si>
    <t>keerthandevadiga777@gmail.com</t>
  </si>
  <si>
    <t>Overall, the service has been good and the team demonstrates strong technical expertise. One area for improvement would be more consistent and proactive communication, especially regular updates on progress and timelines. Faster response times during critical phases and clearer visibility into delivery milestones would further enhance the overall experience.</t>
  </si>
  <si>
    <t>shreyasdubey2020@gmail.com</t>
  </si>
  <si>
    <t>High-quality technical output and good collaboration. Minor improvements in response speed would be appreciated.</t>
  </si>
  <si>
    <t>akshaysreedhar2003@gmail.com</t>
  </si>
  <si>
    <t>Very satisfied with the overall service. Communication was clear and the team resolved issues quickly. Keep up the good work.</t>
  </si>
  <si>
    <t>heetshah2003@gmail.com</t>
  </si>
  <si>
    <t>Communication gaps and slow responses impacted progress. Clearer updates and faster support are needed.</t>
  </si>
  <si>
    <t>manasvigohil22@gmail.com</t>
  </si>
  <si>
    <t>Good experience overall. As project scope increased, response time slowed. Better resource planning could help.</t>
  </si>
  <si>
    <t>parinazbharucha1412@gmail.com</t>
  </si>
  <si>
    <t>Technical support was helpful but often delayed. Faster issue resolution would improve satisfaction.</t>
  </si>
  <si>
    <t>yuvrajsingh2332@gmail.com</t>
  </si>
  <si>
    <t>The team has strong technical skills, but communication and coordination need improvement.</t>
  </si>
  <si>
    <t>priyanshgupta72@gmail.com</t>
  </si>
  <si>
    <t>Satisfied with the service provided. Consistent follow-ups would make it even better.</t>
  </si>
  <si>
    <t>prajwaldahane23@gmail.com</t>
  </si>
  <si>
    <t>The service requires better response management and clearer timelines. Addressing these would significantly improve the experience.</t>
  </si>
  <si>
    <t>Overall CSAT (AVERAGE)</t>
  </si>
  <si>
    <t>Dimension-wise CSAT</t>
  </si>
  <si>
    <t>DIMENSION</t>
  </si>
  <si>
    <t>AVERAGE SCORE</t>
  </si>
  <si>
    <t>Expertise</t>
  </si>
  <si>
    <t>Satisfaction Distribution (Overall CSAT)</t>
  </si>
  <si>
    <t>Satisfaction Level</t>
  </si>
  <si>
    <t>Number of Users (Count)</t>
  </si>
  <si>
    <t>Percentage (Count)</t>
  </si>
  <si>
    <t>Total</t>
  </si>
  <si>
    <t>Bar Charts</t>
  </si>
  <si>
    <t>Bar chart: Satisfaction level vs count</t>
  </si>
  <si>
    <t>Bar chart: Dimension-wise CSAT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</si>
</sst>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sz val="12"/>
      <color theme="1"/>
      <name val="Times New Roman"/>
      <family val="1"/>
    </font>
    <font>
      <b/>
      <sz val="14"/>
      <color theme="1"/>
      <name val="Times New Roman"/>
      <family val="1"/>
    </font>
    <font>
      <b/>
      <sz val="11"/>
      <color theme="1"/>
      <name val="Times New Roman"/>
      <family val="1"/>
    </font>
    <font>
      <b/>
      <sz val="12"/>
      <color theme="1"/>
      <name val="Times New Roman"/>
      <family val="1"/>
    </font>
    <font>
      <b/>
      <sz val="16"/>
      <color theme="1"/>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20" fillId="33" borderId="10" xfId="0" applyFont="1" applyFill="1" applyBorder="1"/>
    <xf numFmtId="0" fontId="19" fillId="34" borderId="10" xfId="0" applyFont="1" applyFill="1" applyBorder="1"/>
    <xf numFmtId="0" fontId="19" fillId="34" borderId="10" xfId="0" applyFont="1" applyFill="1" applyBorder="1" applyAlignment="1">
      <alignment horizontal="center"/>
    </xf>
    <xf numFmtId="0" fontId="21" fillId="0" borderId="0" xfId="0" applyFont="1"/>
    <xf numFmtId="0" fontId="22" fillId="0" borderId="0" xfId="0" applyFont="1"/>
    <xf numFmtId="0" fontId="22" fillId="0" borderId="0" xfId="0" applyFont="1" applyAlignment="1">
      <alignment horizontal="center"/>
    </xf>
    <xf numFmtId="0" fontId="22" fillId="35" borderId="0" xfId="0" applyFont="1" applyFill="1"/>
    <xf numFmtId="0" fontId="22" fillId="36" borderId="0" xfId="0" applyFont="1" applyFill="1" applyAlignment="1">
      <alignment horizontal="center"/>
    </xf>
    <xf numFmtId="0" fontId="20" fillId="0" borderId="0" xfId="0" applyFont="1" applyAlignment="1">
      <alignment horizontal="center"/>
    </xf>
    <xf numFmtId="0" fontId="20" fillId="36" borderId="0" xfId="0" applyFont="1" applyFill="1" applyAlignment="1">
      <alignment horizontal="center"/>
    </xf>
    <xf numFmtId="0" fontId="19" fillId="0" borderId="0" xfId="0" applyFont="1" applyAlignment="1">
      <alignment horizontal="center"/>
    </xf>
    <xf numFmtId="0" fontId="20" fillId="0" borderId="0" xfId="0" applyFont="1" applyAlignment="1">
      <alignment horizontal="center"/>
    </xf>
    <xf numFmtId="9" fontId="19" fillId="0" borderId="0" xfId="0" applyNumberFormat="1" applyFont="1" applyAlignment="1">
      <alignment horizontal="center"/>
    </xf>
    <xf numFmtId="0" fontId="23" fillId="37" borderId="0" xfId="0" applyFont="1" applyFill="1" applyAlignment="1">
      <alignment horizontal="center"/>
    </xf>
    <xf numFmtId="0" fontId="23" fillId="38"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i val="0"/>
        <strike val="0"/>
        <condense val="0"/>
        <extend val="0"/>
        <outline val="0"/>
        <shadow val="0"/>
        <u val="none"/>
        <vertAlign val="baseline"/>
        <sz val="14"/>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'Customer Satisfaction Survey – '!$B$39</c:f>
              <c:strCache>
                <c:ptCount val="1"/>
                <c:pt idx="0">
                  <c:v>Number of Users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'Customer Satisfaction Survey – '!$A$40:$A$44</c:f>
              <c:numCache>
                <c:formatCode>General</c:formatCode>
                <c:ptCount val="5"/>
                <c:pt idx="0">
                  <c:v>1</c:v>
                </c:pt>
                <c:pt idx="1">
                  <c:v>2</c:v>
                </c:pt>
                <c:pt idx="2">
                  <c:v>3</c:v>
                </c:pt>
                <c:pt idx="3">
                  <c:v>4</c:v>
                </c:pt>
                <c:pt idx="4">
                  <c:v>5</c:v>
                </c:pt>
              </c:numCache>
            </c:numRef>
          </c:cat>
          <c:val>
            <c:numRef>
              <c:f>'Customer Satisfaction Survey – '!$B$40:$B$44</c:f>
              <c:numCache>
                <c:formatCode>General</c:formatCode>
                <c:ptCount val="5"/>
                <c:pt idx="0">
                  <c:v>0</c:v>
                </c:pt>
                <c:pt idx="1">
                  <c:v>2</c:v>
                </c:pt>
                <c:pt idx="2">
                  <c:v>7</c:v>
                </c:pt>
                <c:pt idx="3">
                  <c:v>8</c:v>
                </c:pt>
                <c:pt idx="4">
                  <c:v>3</c:v>
                </c:pt>
              </c:numCache>
            </c:numRef>
          </c:val>
          <c:extLst>
            <c:ext xmlns:c16="http://schemas.microsoft.com/office/drawing/2014/chart" uri="{C3380CC4-5D6E-409C-BE32-E72D297353CC}">
              <c16:uniqueId val="{00000000-80E8-49C1-95D7-6FC4F8B86DC0}"/>
            </c:ext>
          </c:extLst>
        </c:ser>
        <c:dLbls>
          <c:showLegendKey val="0"/>
          <c:showVal val="0"/>
          <c:showCatName val="0"/>
          <c:showSerName val="0"/>
          <c:showPercent val="0"/>
          <c:showBubbleSize val="0"/>
        </c:dLbls>
        <c:gapWidth val="100"/>
        <c:overlap val="-24"/>
        <c:axId val="1476244640"/>
        <c:axId val="1478200640"/>
      </c:barChart>
      <c:catAx>
        <c:axId val="14762446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100">
                    <a:latin typeface="Times New Roman" panose="02020603050405020304" pitchFamily="18" charset="0"/>
                    <a:cs typeface="Times New Roman" panose="02020603050405020304" pitchFamily="18" charset="0"/>
                  </a:rPr>
                  <a:t>satisfaction 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478200640"/>
        <c:crosses val="autoZero"/>
        <c:auto val="1"/>
        <c:lblAlgn val="ctr"/>
        <c:lblOffset val="100"/>
        <c:noMultiLvlLbl val="0"/>
      </c:catAx>
      <c:valAx>
        <c:axId val="1478200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050">
                    <a:latin typeface="Times New Roman" panose="02020603050405020304" pitchFamily="18" charset="0"/>
                    <a:cs typeface="Times New Roman" panose="02020603050405020304" pitchFamily="18" charset="0"/>
                  </a:rPr>
                  <a:t>NUMBER OF</a:t>
                </a:r>
                <a:r>
                  <a:rPr lang="en-IN" sz="1050" baseline="0">
                    <a:latin typeface="Times New Roman" panose="02020603050405020304" pitchFamily="18" charset="0"/>
                    <a:cs typeface="Times New Roman" panose="02020603050405020304" pitchFamily="18" charset="0"/>
                  </a:rPr>
                  <a:t> USERS (COUNT)</a:t>
                </a:r>
                <a:endParaRPr lang="en-IN" sz="1050">
                  <a:latin typeface="Times New Roman" panose="02020603050405020304" pitchFamily="18" charset="0"/>
                  <a:cs typeface="Times New Roman" panose="02020603050405020304" pitchFamily="18" charset="0"/>
                </a:endParaRPr>
              </a:p>
            </c:rich>
          </c:tx>
          <c:layout>
            <c:manualLayout>
              <c:xMode val="edge"/>
              <c:yMode val="edge"/>
              <c:x val="1.0903426791277258E-2"/>
              <c:y val="0.2109947506561679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4762446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'Customer Satisfaction Survey – '!$A$31</c:f>
              <c:strCache>
                <c:ptCount val="1"/>
                <c:pt idx="0">
                  <c:v>Communication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Satisfaction Survey – '!$B$30</c:f>
              <c:strCache>
                <c:ptCount val="1"/>
                <c:pt idx="0">
                  <c:v>AVERAGE SCORE</c:v>
                </c:pt>
              </c:strCache>
            </c:strRef>
          </c:cat>
          <c:val>
            <c:numRef>
              <c:f>'Customer Satisfaction Survey – '!$B$31</c:f>
              <c:numCache>
                <c:formatCode>General</c:formatCode>
                <c:ptCount val="1"/>
                <c:pt idx="0">
                  <c:v>3.5</c:v>
                </c:pt>
              </c:numCache>
            </c:numRef>
          </c:val>
          <c:extLst>
            <c:ext xmlns:c16="http://schemas.microsoft.com/office/drawing/2014/chart" uri="{C3380CC4-5D6E-409C-BE32-E72D297353CC}">
              <c16:uniqueId val="{00000000-4D9C-40F0-9EF7-7EA0BBC9DD50}"/>
            </c:ext>
          </c:extLst>
        </c:ser>
        <c:ser>
          <c:idx val="1"/>
          <c:order val="1"/>
          <c:tx>
            <c:strRef>
              <c:f>'Customer Satisfaction Survey – '!$A$32</c:f>
              <c:strCache>
                <c:ptCount val="1"/>
                <c:pt idx="0">
                  <c:v>Expertise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Satisfaction Survey – '!$B$30</c:f>
              <c:strCache>
                <c:ptCount val="1"/>
                <c:pt idx="0">
                  <c:v>AVERAGE SCORE</c:v>
                </c:pt>
              </c:strCache>
            </c:strRef>
          </c:cat>
          <c:val>
            <c:numRef>
              <c:f>'Customer Satisfaction Survey – '!$B$32</c:f>
              <c:numCache>
                <c:formatCode>General</c:formatCode>
                <c:ptCount val="1"/>
                <c:pt idx="0">
                  <c:v>4.3</c:v>
                </c:pt>
              </c:numCache>
            </c:numRef>
          </c:val>
          <c:extLst>
            <c:ext xmlns:c16="http://schemas.microsoft.com/office/drawing/2014/chart" uri="{C3380CC4-5D6E-409C-BE32-E72D297353CC}">
              <c16:uniqueId val="{00000001-4D9C-40F0-9EF7-7EA0BBC9DD50}"/>
            </c:ext>
          </c:extLst>
        </c:ser>
        <c:ser>
          <c:idx val="2"/>
          <c:order val="2"/>
          <c:tx>
            <c:strRef>
              <c:f>'Customer Satisfaction Survey – '!$A$33</c:f>
              <c:strCache>
                <c:ptCount val="1"/>
                <c:pt idx="0">
                  <c:v>Responsiveness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Satisfaction Survey – '!$B$30</c:f>
              <c:strCache>
                <c:ptCount val="1"/>
                <c:pt idx="0">
                  <c:v>AVERAGE SCORE</c:v>
                </c:pt>
              </c:strCache>
            </c:strRef>
          </c:cat>
          <c:val>
            <c:numRef>
              <c:f>'Customer Satisfaction Survey – '!$B$33</c:f>
              <c:numCache>
                <c:formatCode>General</c:formatCode>
                <c:ptCount val="1"/>
                <c:pt idx="0">
                  <c:v>3.25</c:v>
                </c:pt>
              </c:numCache>
            </c:numRef>
          </c:val>
          <c:extLst>
            <c:ext xmlns:c16="http://schemas.microsoft.com/office/drawing/2014/chart" uri="{C3380CC4-5D6E-409C-BE32-E72D297353CC}">
              <c16:uniqueId val="{00000002-4D9C-40F0-9EF7-7EA0BBC9DD50}"/>
            </c:ext>
          </c:extLst>
        </c:ser>
        <c:ser>
          <c:idx val="3"/>
          <c:order val="3"/>
          <c:tx>
            <c:strRef>
              <c:f>'Customer Satisfaction Survey – '!$A$34</c:f>
              <c:strCache>
                <c:ptCount val="1"/>
                <c:pt idx="0">
                  <c:v>Timelines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Satisfaction Survey – '!$B$30</c:f>
              <c:strCache>
                <c:ptCount val="1"/>
                <c:pt idx="0">
                  <c:v>AVERAGE SCORE</c:v>
                </c:pt>
              </c:strCache>
            </c:strRef>
          </c:cat>
          <c:val>
            <c:numRef>
              <c:f>'Customer Satisfaction Survey – '!$B$34</c:f>
              <c:numCache>
                <c:formatCode>General</c:formatCode>
                <c:ptCount val="1"/>
                <c:pt idx="0">
                  <c:v>3.4</c:v>
                </c:pt>
              </c:numCache>
            </c:numRef>
          </c:val>
          <c:extLst>
            <c:ext xmlns:c16="http://schemas.microsoft.com/office/drawing/2014/chart" uri="{C3380CC4-5D6E-409C-BE32-E72D297353CC}">
              <c16:uniqueId val="{00000003-4D9C-40F0-9EF7-7EA0BBC9DD50}"/>
            </c:ext>
          </c:extLst>
        </c:ser>
        <c:dLbls>
          <c:showLegendKey val="0"/>
          <c:showVal val="0"/>
          <c:showCatName val="0"/>
          <c:showSerName val="0"/>
          <c:showPercent val="0"/>
          <c:showBubbleSize val="0"/>
        </c:dLbls>
        <c:gapWidth val="100"/>
        <c:overlap val="-24"/>
        <c:axId val="1538789552"/>
        <c:axId val="1538791472"/>
      </c:barChart>
      <c:catAx>
        <c:axId val="1538789552"/>
        <c:scaling>
          <c:orientation val="minMax"/>
        </c:scaling>
        <c:delete val="1"/>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100">
                    <a:latin typeface="Times New Roman" panose="02020603050405020304" pitchFamily="18" charset="0"/>
                    <a:cs typeface="Times New Roman" panose="02020603050405020304" pitchFamily="18" charset="0"/>
                  </a:rPr>
                  <a:t>DIMENSION</a:t>
                </a:r>
              </a:p>
            </c:rich>
          </c:tx>
          <c:layout>
            <c:manualLayout>
              <c:xMode val="edge"/>
              <c:yMode val="edge"/>
              <c:x val="0.46062440208992567"/>
              <c:y val="0.9457383825508952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crossAx val="1538791472"/>
        <c:crosses val="autoZero"/>
        <c:auto val="1"/>
        <c:lblAlgn val="ctr"/>
        <c:lblOffset val="100"/>
        <c:noMultiLvlLbl val="0"/>
      </c:catAx>
      <c:valAx>
        <c:axId val="15387914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100" b="0"/>
                  <a:t>AVERAGE SCORE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538789552"/>
        <c:crosses val="autoZero"/>
        <c:crossBetween val="between"/>
      </c:valAx>
      <c:spPr>
        <a:noFill/>
        <a:ln>
          <a:noFill/>
        </a:ln>
        <a:effectLst/>
      </c:spPr>
    </c:plotArea>
    <c:legend>
      <c:legendPos val="b"/>
      <c:layout>
        <c:manualLayout>
          <c:xMode val="edge"/>
          <c:yMode val="edge"/>
          <c:x val="9.9192729413496217E-2"/>
          <c:y val="0.89083290647670554"/>
          <c:w val="0.82653665955306999"/>
          <c:h val="4.86527213599056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7620</xdr:rowOff>
    </xdr:from>
    <xdr:to>
      <xdr:col>4</xdr:col>
      <xdr:colOff>0</xdr:colOff>
      <xdr:row>73</xdr:row>
      <xdr:rowOff>167640</xdr:rowOff>
    </xdr:to>
    <xdr:graphicFrame macro="">
      <xdr:nvGraphicFramePr>
        <xdr:cNvPr id="2" name="Chart 1">
          <a:extLst>
            <a:ext uri="{FF2B5EF4-FFF2-40B4-BE49-F238E27FC236}">
              <a16:creationId xmlns:a16="http://schemas.microsoft.com/office/drawing/2014/main" id="{0631D78B-9631-FEF0-4858-DCF0336CF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77</xdr:row>
      <xdr:rowOff>7620</xdr:rowOff>
    </xdr:from>
    <xdr:to>
      <xdr:col>4</xdr:col>
      <xdr:colOff>0</xdr:colOff>
      <xdr:row>105</xdr:row>
      <xdr:rowOff>137160</xdr:rowOff>
    </xdr:to>
    <xdr:graphicFrame macro="">
      <xdr:nvGraphicFramePr>
        <xdr:cNvPr id="3" name="Chart 2">
          <a:extLst>
            <a:ext uri="{FF2B5EF4-FFF2-40B4-BE49-F238E27FC236}">
              <a16:creationId xmlns:a16="http://schemas.microsoft.com/office/drawing/2014/main" id="{239550E2-A189-CE7E-3FE6-AB15AD1AC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562B5F-B09F-4150-B638-0BACB4774091}" name="Table1" displayName="Table1" ref="A30:B34" totalsRowShown="0" headerRowDxfId="6">
  <autoFilter ref="A30:B34" xr:uid="{78562B5F-B09F-4150-B638-0BACB4774091}"/>
  <tableColumns count="2">
    <tableColumn id="1" xr3:uid="{C946754C-C5EA-45A1-81FF-4501369670E5}" name="DIMENSION" dataDxfId="5"/>
    <tableColumn id="2" xr3:uid="{24EEC76C-13A3-4386-91AF-6C17CCF3474F}" name="AVERAGE SCORE" dataDxfId="4"/>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F0DDFC-45B5-4B86-BC31-034DAD666504}" name="Table2" displayName="Table2" ref="A39:C45" totalsRowShown="0" headerRowDxfId="0">
  <autoFilter ref="A39:C45" xr:uid="{9EF0DDFC-45B5-4B86-BC31-034DAD666504}"/>
  <tableColumns count="3">
    <tableColumn id="1" xr3:uid="{82384605-8F59-4033-BCB4-D19E4A33E07A}" name="Satisfaction Level" dataDxfId="3"/>
    <tableColumn id="2" xr3:uid="{E971BF8B-C294-4FC6-AAF9-BA51A5798C88}" name="Number of Users (Count)" dataDxfId="2"/>
    <tableColumn id="3" xr3:uid="{9ED97810-9AC9-4FF2-8F73-0D64E6F5C1E2}" name="Percentage (Count)" dataDxfId="1"/>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952C-9EBF-42B1-8311-2073926B2706}">
  <dimension ref="A1:G77"/>
  <sheetViews>
    <sheetView tabSelected="1" topLeftCell="A94" workbookViewId="0">
      <selection activeCell="A26" sqref="A26"/>
    </sheetView>
  </sheetViews>
  <sheetFormatPr defaultRowHeight="13.8" x14ac:dyDescent="0.25"/>
  <cols>
    <col min="1" max="1" width="32.88671875" style="1" bestFit="1" customWidth="1"/>
    <col min="2" max="2" width="34.44140625" style="1" bestFit="1" customWidth="1"/>
    <col min="3" max="3" width="27.88671875" style="1" bestFit="1" customWidth="1"/>
    <col min="4" max="4" width="23.6640625" style="1" bestFit="1" customWidth="1"/>
    <col min="5" max="5" width="18.21875" style="1" bestFit="1" customWidth="1"/>
    <col min="6" max="6" width="11.33203125" style="1" bestFit="1" customWidth="1"/>
    <col min="7" max="7" width="255.77734375" style="1" bestFit="1" customWidth="1"/>
    <col min="8" max="16384" width="8.88671875" style="1"/>
  </cols>
  <sheetData>
    <row r="1" spans="1:7" ht="17.399999999999999" x14ac:dyDescent="0.3">
      <c r="A1" s="2" t="s">
        <v>0</v>
      </c>
      <c r="B1" s="2" t="s">
        <v>1</v>
      </c>
      <c r="C1" s="2" t="s">
        <v>2</v>
      </c>
      <c r="D1" s="2" t="s">
        <v>3</v>
      </c>
      <c r="E1" s="2" t="s">
        <v>4</v>
      </c>
      <c r="F1" s="2" t="s">
        <v>5</v>
      </c>
      <c r="G1" s="2" t="s">
        <v>6</v>
      </c>
    </row>
    <row r="2" spans="1:7" ht="15.6" x14ac:dyDescent="0.3">
      <c r="A2" s="3" t="s">
        <v>7</v>
      </c>
      <c r="B2" s="4">
        <v>4</v>
      </c>
      <c r="C2" s="4">
        <v>4</v>
      </c>
      <c r="D2" s="4">
        <v>5</v>
      </c>
      <c r="E2" s="4">
        <v>4</v>
      </c>
      <c r="F2" s="4">
        <v>4</v>
      </c>
      <c r="G2" s="3" t="s">
        <v>8</v>
      </c>
    </row>
    <row r="3" spans="1:7" ht="15.6" x14ac:dyDescent="0.3">
      <c r="A3" s="3" t="s">
        <v>9</v>
      </c>
      <c r="B3" s="4">
        <v>5</v>
      </c>
      <c r="C3" s="4">
        <v>5</v>
      </c>
      <c r="D3" s="4">
        <v>5</v>
      </c>
      <c r="E3" s="4">
        <v>4</v>
      </c>
      <c r="F3" s="4">
        <v>5</v>
      </c>
      <c r="G3" s="3" t="s">
        <v>10</v>
      </c>
    </row>
    <row r="4" spans="1:7" ht="15.6" x14ac:dyDescent="0.3">
      <c r="A4" s="3" t="s">
        <v>11</v>
      </c>
      <c r="B4" s="4">
        <v>5</v>
      </c>
      <c r="C4" s="4">
        <v>5</v>
      </c>
      <c r="D4" s="4">
        <v>5</v>
      </c>
      <c r="E4" s="4">
        <v>4</v>
      </c>
      <c r="F4" s="4">
        <v>4</v>
      </c>
      <c r="G4" s="3" t="s">
        <v>12</v>
      </c>
    </row>
    <row r="5" spans="1:7" ht="15.6" x14ac:dyDescent="0.3">
      <c r="A5" s="3" t="s">
        <v>13</v>
      </c>
      <c r="B5" s="4">
        <v>4</v>
      </c>
      <c r="C5" s="4">
        <v>4</v>
      </c>
      <c r="D5" s="4">
        <v>5</v>
      </c>
      <c r="E5" s="4">
        <v>4</v>
      </c>
      <c r="F5" s="4">
        <v>4</v>
      </c>
      <c r="G5" s="3" t="s">
        <v>14</v>
      </c>
    </row>
    <row r="6" spans="1:7" ht="15.6" x14ac:dyDescent="0.3">
      <c r="A6" s="3" t="s">
        <v>15</v>
      </c>
      <c r="B6" s="4">
        <v>3</v>
      </c>
      <c r="C6" s="4">
        <v>4</v>
      </c>
      <c r="D6" s="4">
        <v>4</v>
      </c>
      <c r="E6" s="4">
        <v>3</v>
      </c>
      <c r="F6" s="4">
        <v>3</v>
      </c>
      <c r="G6" s="3" t="s">
        <v>16</v>
      </c>
    </row>
    <row r="7" spans="1:7" ht="15.6" x14ac:dyDescent="0.3">
      <c r="A7" s="3" t="s">
        <v>17</v>
      </c>
      <c r="B7" s="4">
        <v>3</v>
      </c>
      <c r="C7" s="4">
        <v>2</v>
      </c>
      <c r="D7" s="4">
        <v>4</v>
      </c>
      <c r="E7" s="4">
        <v>3</v>
      </c>
      <c r="F7" s="4">
        <v>3</v>
      </c>
      <c r="G7" s="3" t="s">
        <v>18</v>
      </c>
    </row>
    <row r="8" spans="1:7" ht="15.6" x14ac:dyDescent="0.3">
      <c r="A8" s="3" t="s">
        <v>19</v>
      </c>
      <c r="B8" s="4">
        <v>3</v>
      </c>
      <c r="C8" s="4">
        <v>3</v>
      </c>
      <c r="D8" s="4">
        <v>4</v>
      </c>
      <c r="E8" s="4">
        <v>2</v>
      </c>
      <c r="F8" s="4">
        <v>3</v>
      </c>
      <c r="G8" s="3" t="s">
        <v>20</v>
      </c>
    </row>
    <row r="9" spans="1:7" ht="15.6" x14ac:dyDescent="0.3">
      <c r="A9" s="3" t="s">
        <v>21</v>
      </c>
      <c r="B9" s="4">
        <v>4</v>
      </c>
      <c r="C9" s="4">
        <v>4</v>
      </c>
      <c r="D9" s="4">
        <v>4</v>
      </c>
      <c r="E9" s="4">
        <v>3</v>
      </c>
      <c r="F9" s="4">
        <v>2</v>
      </c>
      <c r="G9" s="3" t="s">
        <v>22</v>
      </c>
    </row>
    <row r="10" spans="1:7" ht="15.6" x14ac:dyDescent="0.3">
      <c r="A10" s="3" t="s">
        <v>23</v>
      </c>
      <c r="B10" s="4">
        <v>4</v>
      </c>
      <c r="C10" s="4">
        <v>4</v>
      </c>
      <c r="D10" s="4">
        <v>5</v>
      </c>
      <c r="E10" s="4">
        <v>4</v>
      </c>
      <c r="F10" s="4">
        <v>4</v>
      </c>
      <c r="G10" s="3" t="s">
        <v>24</v>
      </c>
    </row>
    <row r="11" spans="1:7" ht="15.6" x14ac:dyDescent="0.3">
      <c r="A11" s="3" t="s">
        <v>25</v>
      </c>
      <c r="B11" s="4">
        <v>3</v>
      </c>
      <c r="C11" s="4">
        <v>3</v>
      </c>
      <c r="D11" s="4">
        <v>3</v>
      </c>
      <c r="E11" s="4">
        <v>3</v>
      </c>
      <c r="F11" s="4">
        <v>3</v>
      </c>
      <c r="G11" s="3" t="s">
        <v>26</v>
      </c>
    </row>
    <row r="12" spans="1:7" ht="15.6" x14ac:dyDescent="0.3">
      <c r="A12" s="3" t="s">
        <v>27</v>
      </c>
      <c r="B12" s="4">
        <v>3</v>
      </c>
      <c r="C12" s="4">
        <v>2</v>
      </c>
      <c r="D12" s="4">
        <v>4</v>
      </c>
      <c r="E12" s="4">
        <v>2</v>
      </c>
      <c r="F12" s="4">
        <v>3</v>
      </c>
      <c r="G12" s="3" t="s">
        <v>28</v>
      </c>
    </row>
    <row r="13" spans="1:7" ht="15.6" x14ac:dyDescent="0.3">
      <c r="A13" s="3" t="s">
        <v>29</v>
      </c>
      <c r="B13" s="4">
        <v>4</v>
      </c>
      <c r="C13" s="4">
        <v>3</v>
      </c>
      <c r="D13" s="4">
        <v>5</v>
      </c>
      <c r="E13" s="4">
        <v>4</v>
      </c>
      <c r="F13" s="4">
        <v>3</v>
      </c>
      <c r="G13" s="3" t="s">
        <v>30</v>
      </c>
    </row>
    <row r="14" spans="1:7" ht="15.6" x14ac:dyDescent="0.3">
      <c r="A14" s="3" t="s">
        <v>31</v>
      </c>
      <c r="B14" s="4">
        <v>4</v>
      </c>
      <c r="C14" s="4">
        <v>4</v>
      </c>
      <c r="D14" s="4">
        <v>5</v>
      </c>
      <c r="E14" s="4">
        <v>4</v>
      </c>
      <c r="F14" s="4">
        <v>4</v>
      </c>
      <c r="G14" s="3" t="s">
        <v>32</v>
      </c>
    </row>
    <row r="15" spans="1:7" ht="15.6" x14ac:dyDescent="0.3">
      <c r="A15" s="3" t="s">
        <v>33</v>
      </c>
      <c r="B15" s="4">
        <v>5</v>
      </c>
      <c r="C15" s="4">
        <v>5</v>
      </c>
      <c r="D15" s="4">
        <v>5</v>
      </c>
      <c r="E15" s="4">
        <v>5</v>
      </c>
      <c r="F15" s="4">
        <v>5</v>
      </c>
      <c r="G15" s="3" t="s">
        <v>34</v>
      </c>
    </row>
    <row r="16" spans="1:7" ht="15.6" x14ac:dyDescent="0.3">
      <c r="A16" s="3" t="s">
        <v>35</v>
      </c>
      <c r="B16" s="4">
        <v>2</v>
      </c>
      <c r="C16" s="4">
        <v>2</v>
      </c>
      <c r="D16" s="4">
        <v>3</v>
      </c>
      <c r="E16" s="4">
        <v>2</v>
      </c>
      <c r="F16" s="4">
        <v>2</v>
      </c>
      <c r="G16" s="3" t="s">
        <v>36</v>
      </c>
    </row>
    <row r="17" spans="1:7" ht="15.6" x14ac:dyDescent="0.3">
      <c r="A17" s="3" t="s">
        <v>37</v>
      </c>
      <c r="B17" s="4">
        <v>4</v>
      </c>
      <c r="C17" s="4">
        <v>4</v>
      </c>
      <c r="D17" s="4">
        <v>4</v>
      </c>
      <c r="E17" s="4">
        <v>3</v>
      </c>
      <c r="F17" s="4">
        <v>4</v>
      </c>
      <c r="G17" s="3" t="s">
        <v>38</v>
      </c>
    </row>
    <row r="18" spans="1:7" ht="15.6" x14ac:dyDescent="0.3">
      <c r="A18" s="3" t="s">
        <v>39</v>
      </c>
      <c r="B18" s="4">
        <v>3</v>
      </c>
      <c r="C18" s="4">
        <v>3</v>
      </c>
      <c r="D18" s="4">
        <v>4</v>
      </c>
      <c r="E18" s="4">
        <v>2</v>
      </c>
      <c r="F18" s="4">
        <v>3</v>
      </c>
      <c r="G18" s="3" t="s">
        <v>40</v>
      </c>
    </row>
    <row r="19" spans="1:7" ht="15.6" x14ac:dyDescent="0.3">
      <c r="A19" s="3" t="s">
        <v>41</v>
      </c>
      <c r="B19" s="4">
        <v>3</v>
      </c>
      <c r="C19" s="4">
        <v>2</v>
      </c>
      <c r="D19" s="4">
        <v>5</v>
      </c>
      <c r="E19" s="4">
        <v>3</v>
      </c>
      <c r="F19" s="4">
        <v>3</v>
      </c>
      <c r="G19" s="3" t="s">
        <v>42</v>
      </c>
    </row>
    <row r="20" spans="1:7" ht="15.6" x14ac:dyDescent="0.3">
      <c r="A20" s="3" t="s">
        <v>43</v>
      </c>
      <c r="B20" s="4">
        <v>4</v>
      </c>
      <c r="C20" s="4">
        <v>4</v>
      </c>
      <c r="D20" s="4">
        <v>4</v>
      </c>
      <c r="E20" s="4">
        <v>4</v>
      </c>
      <c r="F20" s="4">
        <v>4</v>
      </c>
      <c r="G20" s="3" t="s">
        <v>44</v>
      </c>
    </row>
    <row r="21" spans="1:7" ht="15.6" x14ac:dyDescent="0.3">
      <c r="A21" s="3" t="s">
        <v>45</v>
      </c>
      <c r="B21" s="4">
        <v>2</v>
      </c>
      <c r="C21" s="4">
        <v>3</v>
      </c>
      <c r="D21" s="4">
        <v>3</v>
      </c>
      <c r="E21" s="4">
        <v>2</v>
      </c>
      <c r="F21" s="4">
        <v>2</v>
      </c>
      <c r="G21" s="3" t="s">
        <v>46</v>
      </c>
    </row>
    <row r="24" spans="1:7" ht="15.6" x14ac:dyDescent="0.3">
      <c r="A24" s="8" t="s">
        <v>47</v>
      </c>
    </row>
    <row r="25" spans="1:7" ht="15.6" x14ac:dyDescent="0.3">
      <c r="A25" s="9">
        <f>AVERAGE(B2:B21)</f>
        <v>3.6</v>
      </c>
    </row>
    <row r="29" spans="1:7" ht="17.399999999999999" x14ac:dyDescent="0.3">
      <c r="A29" s="11" t="s">
        <v>48</v>
      </c>
      <c r="B29" s="11"/>
    </row>
    <row r="30" spans="1:7" ht="15.6" x14ac:dyDescent="0.3">
      <c r="A30" s="7" t="s">
        <v>49</v>
      </c>
      <c r="B30" s="7" t="s">
        <v>50</v>
      </c>
    </row>
    <row r="31" spans="1:7" ht="15.6" x14ac:dyDescent="0.3">
      <c r="A31" s="6" t="s">
        <v>2</v>
      </c>
      <c r="B31" s="12">
        <f>AVERAGE(C2:C21)</f>
        <v>3.5</v>
      </c>
    </row>
    <row r="32" spans="1:7" ht="15.6" x14ac:dyDescent="0.3">
      <c r="A32" s="6" t="s">
        <v>51</v>
      </c>
      <c r="B32" s="12">
        <f>AVERAGE(D2:D21)</f>
        <v>4.3</v>
      </c>
    </row>
    <row r="33" spans="1:4" ht="15.6" x14ac:dyDescent="0.3">
      <c r="A33" s="6" t="s">
        <v>4</v>
      </c>
      <c r="B33" s="12">
        <f>AVERAGE(E2:E21)</f>
        <v>3.25</v>
      </c>
    </row>
    <row r="34" spans="1:4" ht="15.6" x14ac:dyDescent="0.3">
      <c r="A34" s="6" t="s">
        <v>5</v>
      </c>
      <c r="B34" s="12">
        <f>AVERAGE(F2:F21)</f>
        <v>3.4</v>
      </c>
    </row>
    <row r="35" spans="1:4" x14ac:dyDescent="0.25">
      <c r="A35" s="5"/>
    </row>
    <row r="38" spans="1:4" ht="17.399999999999999" x14ac:dyDescent="0.3">
      <c r="A38" s="10" t="s">
        <v>52</v>
      </c>
      <c r="B38" s="10"/>
      <c r="C38" s="10"/>
    </row>
    <row r="39" spans="1:4" ht="17.399999999999999" x14ac:dyDescent="0.3">
      <c r="A39" s="13" t="s">
        <v>53</v>
      </c>
      <c r="B39" s="13" t="s">
        <v>54</v>
      </c>
      <c r="C39" s="13" t="s">
        <v>55</v>
      </c>
    </row>
    <row r="40" spans="1:4" ht="15.6" x14ac:dyDescent="0.3">
      <c r="A40" s="12">
        <v>1</v>
      </c>
      <c r="B40" s="12">
        <f>COUNTIF(B2:B21,A40)</f>
        <v>0</v>
      </c>
      <c r="C40" s="14">
        <f>B40/SUM(B45)</f>
        <v>0</v>
      </c>
    </row>
    <row r="41" spans="1:4" ht="15.6" x14ac:dyDescent="0.3">
      <c r="A41" s="12">
        <v>2</v>
      </c>
      <c r="B41" s="12">
        <f>COUNTIF(B2:B21,A41)</f>
        <v>2</v>
      </c>
      <c r="C41" s="14">
        <f>B41/SUM(B45)</f>
        <v>0.1</v>
      </c>
    </row>
    <row r="42" spans="1:4" ht="15.6" x14ac:dyDescent="0.3">
      <c r="A42" s="12">
        <v>3</v>
      </c>
      <c r="B42" s="12">
        <f>COUNTIF(B2:B21,A42)</f>
        <v>7</v>
      </c>
      <c r="C42" s="14">
        <f>B42/SUM(B45)</f>
        <v>0.35</v>
      </c>
    </row>
    <row r="43" spans="1:4" ht="15.6" x14ac:dyDescent="0.3">
      <c r="A43" s="12">
        <v>4</v>
      </c>
      <c r="B43" s="12">
        <f>COUNTIF(B2:B21,A43)</f>
        <v>8</v>
      </c>
      <c r="C43" s="14">
        <f>B43/SUM(B45)</f>
        <v>0.4</v>
      </c>
    </row>
    <row r="44" spans="1:4" ht="15.6" x14ac:dyDescent="0.3">
      <c r="A44" s="12">
        <v>5</v>
      </c>
      <c r="B44" s="12">
        <f>COUNTIF(B2:B21,A44)</f>
        <v>3</v>
      </c>
      <c r="C44" s="14">
        <f>B44/SUM(B45)</f>
        <v>0.15</v>
      </c>
    </row>
    <row r="45" spans="1:4" ht="15.6" x14ac:dyDescent="0.3">
      <c r="A45" s="7" t="s">
        <v>56</v>
      </c>
      <c r="B45" s="12">
        <f>SUM(B40:B44)</f>
        <v>20</v>
      </c>
      <c r="C45" s="12"/>
    </row>
    <row r="48" spans="1:4" ht="20.399999999999999" x14ac:dyDescent="0.35">
      <c r="A48" s="16" t="s">
        <v>57</v>
      </c>
      <c r="B48" s="16"/>
      <c r="C48" s="16"/>
      <c r="D48" s="16"/>
    </row>
    <row r="50" spans="1:4" ht="20.399999999999999" x14ac:dyDescent="0.35">
      <c r="A50" s="15" t="s">
        <v>58</v>
      </c>
      <c r="B50" s="15"/>
      <c r="C50" s="15"/>
      <c r="D50" s="15"/>
    </row>
    <row r="77" spans="1:4" ht="20.399999999999999" x14ac:dyDescent="0.35">
      <c r="A77" s="15" t="s">
        <v>59</v>
      </c>
      <c r="B77" s="15"/>
      <c r="C77" s="15"/>
      <c r="D77" s="15"/>
    </row>
  </sheetData>
  <mergeCells count="5">
    <mergeCell ref="A29:B29"/>
    <mergeCell ref="A38:C38"/>
    <mergeCell ref="A48:D48"/>
    <mergeCell ref="A50:D50"/>
    <mergeCell ref="A77:D77"/>
  </mergeCell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Satisfaction Survey –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Aryan Ambre</cp:lastModifiedBy>
  <dcterms:created xsi:type="dcterms:W3CDTF">2025-12-19T18:45:00Z</dcterms:created>
  <dcterms:modified xsi:type="dcterms:W3CDTF">2025-12-19T18:45:36Z</dcterms:modified>
</cp:coreProperties>
</file>